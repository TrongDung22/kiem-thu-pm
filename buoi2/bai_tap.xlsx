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5twl-my.sharepoint.com/personal/zungb3_y5twl_onmicrosoft_com/Documents/"/>
    </mc:Choice>
  </mc:AlternateContent>
  <xr:revisionPtr revIDLastSave="353" documentId="8_{24FD5A2E-D083-4B5E-9D93-7A571AB1BEA4}" xr6:coauthVersionLast="47" xr6:coauthVersionMax="47" xr10:uidLastSave="{559B7614-12AD-4560-B45A-D20BD09DBBBC}"/>
  <bookViews>
    <workbookView xWindow="-110" yWindow="-110" windowWidth="25820" windowHeight="16220" activeTab="6" xr2:uid="{3F00E1FE-8537-4AD6-9B33-84B5416D5BE9}"/>
  </bookViews>
  <sheets>
    <sheet name="Bai1" sheetId="2" r:id="rId1"/>
    <sheet name="Bai2" sheetId="1" r:id="rId2"/>
    <sheet name="Bai3" sheetId="5" r:id="rId3"/>
    <sheet name="Bai4" sheetId="6" r:id="rId4"/>
    <sheet name="Bai5" sheetId="7" r:id="rId5"/>
    <sheet name="Bai6" sheetId="10" r:id="rId6"/>
    <sheet name="Bai7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2" l="1"/>
  <c r="D6" i="10"/>
  <c r="D6" i="7"/>
  <c r="D6" i="6"/>
  <c r="D6" i="5"/>
  <c r="D6" i="1"/>
  <c r="D6" i="2"/>
</calcChain>
</file>

<file path=xl/sharedStrings.xml><?xml version="1.0" encoding="utf-8"?>
<sst xmlns="http://schemas.openxmlformats.org/spreadsheetml/2006/main" count="418" uniqueCount="243">
  <si>
    <t>Test Case ID</t>
  </si>
  <si>
    <t>Create By</t>
  </si>
  <si>
    <t>Test Case Description</t>
  </si>
  <si>
    <t>Reviewed By</t>
  </si>
  <si>
    <t>Version</t>
  </si>
  <si>
    <t>QA Tester's Log</t>
  </si>
  <si>
    <t>Tester's Name</t>
  </si>
  <si>
    <t>Date Tested</t>
  </si>
  <si>
    <t>Test Case (Pass/Faill/Not Excuted)</t>
  </si>
  <si>
    <t>S#</t>
  </si>
  <si>
    <t>Prerequisites:</t>
  </si>
  <si>
    <t>Test Data</t>
  </si>
  <si>
    <t>idd</t>
  </si>
  <si>
    <t>Dung</t>
  </si>
  <si>
    <t>001</t>
  </si>
  <si>
    <t>Kiểm tra mức lãi suất theo số dư tài khoản</t>
  </si>
  <si>
    <t>Hệ thống ngân hàng đang hoạt động bình thường</t>
  </si>
  <si>
    <t>Truy cập vào chức năng tính lãi suất tiết kiệm</t>
  </si>
  <si>
    <t>Người dùng đã đăng nhập vào hệ thống</t>
  </si>
  <si>
    <t>Số dư tài khoản ($X$) là số nguyên hoặc số thập phân</t>
  </si>
  <si>
    <t>Đơn vị: USD</t>
  </si>
  <si>
    <t>khl</t>
  </si>
  <si>
    <t>x&lt;=0</t>
  </si>
  <si>
    <t>3%</t>
  </si>
  <si>
    <t>5%</t>
  </si>
  <si>
    <t>7%</t>
  </si>
  <si>
    <t>0 &lt; X &lt; 100 USD</t>
  </si>
  <si>
    <t>100 &lt;= X &lt; 1000</t>
  </si>
  <si>
    <t>X &gt;= 1000</t>
  </si>
  <si>
    <t>Chữ hoặc Ký tự</t>
  </si>
  <si>
    <t>id</t>
  </si>
  <si>
    <t>Bộ dữ liệu (X)</t>
  </si>
  <si>
    <t>Kết quả (kq)</t>
  </si>
  <si>
    <t>TC01</t>
  </si>
  <si>
    <t>Kiểm tra số dư bằng 0</t>
  </si>
  <si>
    <t>Hệ thống báo lỗi/Không tính lãi</t>
  </si>
  <si>
    <t>TC02</t>
  </si>
  <si>
    <t>Kiểm tra số dư là số âm</t>
  </si>
  <si>
    <t>TC03</t>
  </si>
  <si>
    <t>Kiểm tra số dư trong khoảng (0, 100)</t>
  </si>
  <si>
    <t>Hiển thị lãi suất 3%</t>
  </si>
  <si>
    <t>TC04</t>
  </si>
  <si>
    <t>Kiểm tra số dư trong khoảng [100, 1000)</t>
  </si>
  <si>
    <t>Hiển thị lãi suất 5%</t>
  </si>
  <si>
    <t>TC05</t>
  </si>
  <si>
    <t>Kiểm tra số dư lớn hơn hoặc bằng 1000</t>
  </si>
  <si>
    <t>Hiển thị lãi suất 7%</t>
  </si>
  <si>
    <t>TC06</t>
  </si>
  <si>
    <t>Kiểm tra nhập ký tự không phải số</t>
  </si>
  <si>
    <t>"xyz"</t>
  </si>
  <si>
    <t>Hệ thống báo lỗi định dạng</t>
  </si>
  <si>
    <t>Kết quả</t>
  </si>
  <si>
    <t>Mô tả Test Case</t>
  </si>
  <si>
    <t>002</t>
  </si>
  <si>
    <t>Kiểm tra độ dài và định dạng của trường nhập dãy số</t>
  </si>
  <si>
    <t>Trình duyệt đã mở và truy cập vào trang web chứa trường nhập liệu</t>
  </si>
  <si>
    <t>Trường nhập liệu (Textbox) đã sẵn sàng để nhận dữ liệu</t>
  </si>
  <si>
    <t>Dãy số nguyên (0-9)</t>
  </si>
  <si>
    <t>Độ dài chuỗi ký tự (Length)</t>
  </si>
  <si>
    <t>Vùng 1 (Vùng không hợp lệ)</t>
  </si>
  <si>
    <t>Độ dài nhỏ hơn 6 ký tự</t>
  </si>
  <si>
    <t>Độ dài từ 6 đến 10 ký tự</t>
  </si>
  <si>
    <t>Vùng 2 (Vùng hợp lệ)</t>
  </si>
  <si>
    <t>Vùng 3 (Vùng không hợp lệ)</t>
  </si>
  <si>
    <t>Độ dài lớn hơn 10 ký tự</t>
  </si>
  <si>
    <t>Vùng 4 (Vùng không hợp lệ)</t>
  </si>
  <si>
    <t>Dữ liệu chứa ký tự không phải là số (Chữ cái, ký tự đặc biệt) mặc dù độ dài hợp lệ</t>
  </si>
  <si>
    <t>Bộ dữ liệu (Dãy số)</t>
  </si>
  <si>
    <t>Kiểm tra độ dài nhỏ hơn giới hạn (5 ký tự)</t>
  </si>
  <si>
    <t>Hệ thống báo lỗi độ dài (Invalid)</t>
  </si>
  <si>
    <t>Kiểm tra độ dài tối thiểu (6 ký tự)</t>
  </si>
  <si>
    <t>Chấp nhận dữ liệu (Valid/Pass)</t>
  </si>
  <si>
    <t>Kiểm tra độ dài trong khoảng cho phép (8 ký tự)</t>
  </si>
  <si>
    <t>Kiểm tra độ dài tối đa (10 ký tự)</t>
  </si>
  <si>
    <t>Kiểm tra độ dài vượt quá giới hạn (11 ký tự)</t>
  </si>
  <si>
    <t>Kiểm tra nhập ký tự chữ (độ dài 7)</t>
  </si>
  <si>
    <t>abc1234</t>
  </si>
  <si>
    <t>Hệ thống báo lỗi định dạng (Số)</t>
  </si>
  <si>
    <t>003</t>
  </si>
  <si>
    <t>1</t>
  </si>
  <si>
    <t>Kiểm tra tính chính xác của giá vé theo khung giờ (Giờ cao điểm vs Giờ bình thường)</t>
  </si>
  <si>
    <t>Vùng 1 (Giờ cao điểm)</t>
  </si>
  <si>
    <t>Trước 9:30 sáng</t>
  </si>
  <si>
    <t>Vùng 2 (Giờ bình thường)</t>
  </si>
  <si>
    <t>Từ 9:30 sáng đến 4:00 chiều</t>
  </si>
  <si>
    <t>Vùng 3 (Giờ cao điểm)</t>
  </si>
  <si>
    <t>Từ sau 4:00 chiều đến 7:30 tối</t>
  </si>
  <si>
    <t>Vùng 4 (Giờ bình thường)</t>
  </si>
  <si>
    <t>Sau 7:30 tối</t>
  </si>
  <si>
    <t>Các vùng không hợp lệ</t>
  </si>
  <si>
    <r>
      <t>Vùng 5:</t>
    </r>
    <r>
      <rPr>
        <sz val="11"/>
        <color theme="1"/>
        <rFont val="Arial"/>
        <family val="2"/>
        <scheme val="minor"/>
      </rPr>
      <t xml:space="preserve"> Thời gian không tồn tại</t>
    </r>
  </si>
  <si>
    <r>
      <t>Vùng 6:</t>
    </r>
    <r>
      <rPr>
        <sz val="11"/>
        <color theme="1"/>
        <rFont val="Arial"/>
        <family val="2"/>
        <scheme val="minor"/>
      </rPr>
      <t xml:space="preserve"> Nhập ký tự không phải thời gian</t>
    </r>
  </si>
  <si>
    <t>2</t>
  </si>
  <si>
    <t>Ứng dụng Grab đã được mở</t>
  </si>
  <si>
    <t>Đã chọn điểm đi và điểm đến</t>
  </si>
  <si>
    <t>Thời gian đặt xe</t>
  </si>
  <si>
    <t>Loại dịch vụ: Grab Car/Bike</t>
  </si>
  <si>
    <t>Bộ dữ liệu (Thời gian)</t>
  </si>
  <si>
    <t>Kiểm tra giờ cao điểm buổi sáng</t>
  </si>
  <si>
    <t>Kiểm tra giờ bình thường (Ban ngày)</t>
  </si>
  <si>
    <t>Kiểm tra giờ cao điểm buổi chiều</t>
  </si>
  <si>
    <t>Kiểm tra giờ bình thường (Buổi tối)</t>
  </si>
  <si>
    <t>Kiểm tra mốc biên giới hạn sáng</t>
  </si>
  <si>
    <t>Kiểm tra dữ liệu thời gian không hợp lệ</t>
  </si>
  <si>
    <t>TC07</t>
  </si>
  <si>
    <t>Kiểm tra nhập ký tự chữ</t>
  </si>
  <si>
    <t xml:space="preserve">Tính giá giờ cao điểm (Peak Fare) </t>
  </si>
  <si>
    <t xml:space="preserve">Tính giá bình thường (Normal Fare) </t>
  </si>
  <si>
    <t xml:space="preserve">Hệ thống báo lỗi dữ liệu (Invalid Time) </t>
  </si>
  <si>
    <t xml:space="preserve">Hệ thống báo lỗi định dạng </t>
  </si>
  <si>
    <t>"Chiều"</t>
  </si>
  <si>
    <t>Kiểm tra hiển thị giá vé theo chiều cao nhập vào hệ thống</t>
  </si>
  <si>
    <t xml:space="preserve">Truy cập vào website bán vé trực tuyến </t>
  </si>
  <si>
    <t xml:space="preserve">Cột nhập chiều cao sẵn sàng để nhập liệu   </t>
  </si>
  <si>
    <t>Chiều cao (X) đơn vị cm</t>
  </si>
  <si>
    <t>X là số nguyên không âm</t>
  </si>
  <si>
    <t>Bộ dữ liệu (Chiều cao)</t>
  </si>
  <si>
    <t>Kiểm tra chiều cao là số âm</t>
  </si>
  <si>
    <t>Kiểm tra chiều cao dưới ngưỡng tối thiểu</t>
  </si>
  <si>
    <t>Hệ thống báo lỗi (Ngoài khoảng)</t>
  </si>
  <si>
    <t>Kiểm tra vùng miễn phí vé (40-99 cm)</t>
  </si>
  <si>
    <t>Kiểm tra vùng đơn giá 150,000 (100-140 cm)</t>
  </si>
  <si>
    <t>Kiểm tra vùng giá vé 300,000 (141-200 cm)</t>
  </si>
  <si>
    <t>Kiểm tra chiều cao vượt quá 200 cm</t>
  </si>
  <si>
    <t>Kiểm tra nhập ký tự là chữ</t>
  </si>
  <si>
    <t>"abc"</t>
  </si>
  <si>
    <t xml:space="preserve">Hệ thống báo lỗi (Số âm) </t>
  </si>
  <si>
    <t xml:space="preserve">Hiển thị: Miễn phí vé vào </t>
  </si>
  <si>
    <t xml:space="preserve">Hiển thị đơn giá: 150,000 </t>
  </si>
  <si>
    <t xml:space="preserve">Hiển thị giá vé: 300,000 </t>
  </si>
  <si>
    <t xml:space="preserve">Hệ thống thông báo lỗi </t>
  </si>
  <si>
    <t>Vùng hợp lệ 1</t>
  </si>
  <si>
    <t>Vùng hợp lệ 2</t>
  </si>
  <si>
    <t>Vùng hợp lệ 3</t>
  </si>
  <si>
    <t>Chiều cao từ 40 - 99 cm</t>
  </si>
  <si>
    <t>Chiều cao từ 100 - 140 cm</t>
  </si>
  <si>
    <t>Chiều cao từ 141 - 200 cm</t>
  </si>
  <si>
    <t>Miễn phí</t>
  </si>
  <si>
    <t>Vùng không hợp lệ 1</t>
  </si>
  <si>
    <t>Chiều cao là số âm hoặc không phải số nguyên</t>
  </si>
  <si>
    <t>Vùng không hợp lệ 2</t>
  </si>
  <si>
    <t>Chiều cao nhỏ hơn 40 cm (nằm ngoài khoảng quy định từ 40-200)</t>
  </si>
  <si>
    <t>Vùng không hợp lệ 3</t>
  </si>
  <si>
    <t>Chiều cao lớn hơn 200 cm</t>
  </si>
  <si>
    <t>Vùng không hợp lệ 4</t>
  </si>
  <si>
    <t>Nhập chữ hoặc ký tự đặc biệt</t>
  </si>
  <si>
    <t>Báo lỗi</t>
  </si>
  <si>
    <t>005</t>
  </si>
  <si>
    <t xml:space="preserve">Kiểm tra giá trị mã giảm giá nhận được theo ngày nhập vào </t>
  </si>
  <si>
    <t>Truy cập vào website chính thức của siêu thị</t>
  </si>
  <si>
    <t>Ô nhập ngày và nút "OK" hiển thị bình thường</t>
  </si>
  <si>
    <t>Ngày nhập vào (Giá trị nguyên)</t>
  </si>
  <si>
    <t>Bộ dữ liệu (Ngày)</t>
  </si>
  <si>
    <t>"sale"</t>
  </si>
  <si>
    <t>Các ngày trong khoảng từ 20 – 25</t>
  </si>
  <si>
    <t>Các ngày trong khoảng từ 26 – 30</t>
  </si>
  <si>
    <t>Nhận mã giảm giá 50%</t>
  </si>
  <si>
    <t>Nhận mã giảm giá 70%</t>
  </si>
  <si>
    <t>Các giá trị nhỏ hơn 20</t>
  </si>
  <si>
    <t>Các giá trị lớn hơn 30</t>
  </si>
  <si>
    <t>Nhập ký tự không phải số nguyên hoặc để trống</t>
  </si>
  <si>
    <t xml:space="preserve">Kiểm tra ngày nhỏ hơn khoảng quy định </t>
  </si>
  <si>
    <t xml:space="preserve">Hệ thống tự động báo lỗi </t>
  </si>
  <si>
    <t xml:space="preserve">Kiểm tra ngày trong khoảng nhận mã 50% </t>
  </si>
  <si>
    <t xml:space="preserve">Hiển thị: Mã giảm giá tối đa 50% </t>
  </si>
  <si>
    <t xml:space="preserve">Kiểm tra ngày trong khoảng nhận mã 70% </t>
  </si>
  <si>
    <t xml:space="preserve">Hiển thị: Bạn đã nhận được coupon giảm 70% </t>
  </si>
  <si>
    <t xml:space="preserve">Kiểm tra ngày lớn hơn khoảng quy định </t>
  </si>
  <si>
    <t xml:space="preserve">Kiểm tra nhập số thập phân (không phải số nguyên) </t>
  </si>
  <si>
    <t xml:space="preserve">Hệ thống báo lỗi dữ liệu </t>
  </si>
  <si>
    <t xml:space="preserve">Kiểm tra nhập ký tự không phải là số </t>
  </si>
  <si>
    <t>Hệ thống báo lỗi dữ liệu</t>
  </si>
  <si>
    <t>006</t>
  </si>
  <si>
    <t>Truy cập vào form chứa ô text cần kiểm tra</t>
  </si>
  <si>
    <t>Ô nhập liệu sẵn sàng nhận dữ liệu</t>
  </si>
  <si>
    <t>Các chuỗi ký tự có độ dài khác nhau</t>
  </si>
  <si>
    <t>Vùng 2 (Hợp lệ)</t>
  </si>
  <si>
    <t>Kiểm tra ô text chỉ cho nhập số nguyên với độ dài [1-10] hoặc [20-30]</t>
  </si>
  <si>
    <t>Độ dài thuộc 20 - 30</t>
  </si>
  <si>
    <t>Độ dài thuộc 1 - 10</t>
  </si>
  <si>
    <t>Vùng 1 (Hợp lệ)</t>
  </si>
  <si>
    <t>Vùng 1 (Không hợp lệ)</t>
  </si>
  <si>
    <t>Độ dài nhỏ hơn 1</t>
  </si>
  <si>
    <t>Vùng 3 (Không hợp lệ)</t>
  </si>
  <si>
    <t>Vùng 2 (Không hợp lệ)</t>
  </si>
  <si>
    <t>Độ dài lớn hơn 10 và nhỏ hơn 20</t>
  </si>
  <si>
    <t>Độ dài lớn hơn 30</t>
  </si>
  <si>
    <t>Kiểm tra độ dài nhỏ hơn 1 (để trống)</t>
  </si>
  <si>
    <t>(Rỗng)</t>
  </si>
  <si>
    <t>12345 (5 ký tự)</t>
  </si>
  <si>
    <t>123456789012345 (15 ký tự)</t>
  </si>
  <si>
    <t>1234567890123456789012345 (25 ký tự)</t>
  </si>
  <si>
    <t>Kiểm tra độ dài lớn hơn 30</t>
  </si>
  <si>
    <t>(Dãy số dài 35 ký tự)</t>
  </si>
  <si>
    <t>Kiểm tra nhập ký tự không phải số nguyên</t>
  </si>
  <si>
    <t>"abcde123"</t>
  </si>
  <si>
    <t>Kiểm tra độ dài trong khoảng [1 - 10]</t>
  </si>
  <si>
    <t>Kiểm tra độ dài trong khoảng (10, 20)</t>
  </si>
  <si>
    <t>Kiểm tra độ dài trong khoảng [20-30]</t>
  </si>
  <si>
    <t xml:space="preserve">Chấp nhận dữ liệu (Valid) </t>
  </si>
  <si>
    <t xml:space="preserve">Hệ thống báo lỗi/Không chấp nhận </t>
  </si>
  <si>
    <t xml:space="preserve">Hệ thống báo lỗi (Invalid) </t>
  </si>
  <si>
    <t>007</t>
  </si>
  <si>
    <t>Kiểm tra tính đúng đắn của việc xử lý dữ liệu file sinh viên</t>
  </si>
  <si>
    <t xml:space="preserve">Dung </t>
  </si>
  <si>
    <t>File dữ liệu (.txt hoặc .csv) đã được tạo</t>
  </si>
  <si>
    <t>Chương trình thống kê đã sẵn sàng thực thi</t>
  </si>
  <si>
    <t xml:space="preserve">Tên sinh viên (Chuỗi ký tự) </t>
  </si>
  <si>
    <t>Giới tính (1 ký tự), Điểm (Số thực/nguyên)</t>
  </si>
  <si>
    <t>Về số lượng dòng trong file</t>
  </si>
  <si>
    <t>Vùng hợp lệ: 1 &lt;= n &lt;= 100 dòng</t>
  </si>
  <si>
    <t>Vùng không hợp lệ: n = 0 hoặc n &gt; 100 dòng</t>
  </si>
  <si>
    <t>Về độ dài tên sinh viên</t>
  </si>
  <si>
    <t>Vùng hợp lệ: 1 &lt;= tên &lt;= 20 ký tự</t>
  </si>
  <si>
    <t>Vùng không hợp lệ: &gt; 20 ký tự hoặc để trống.</t>
  </si>
  <si>
    <t>Về giới tính</t>
  </si>
  <si>
    <t>Vùng hợp lệ: 1 ký tự</t>
  </si>
  <si>
    <t>Vùng không hợp lệ: 0 ký tự hoặc &gt; 1 ký tự.</t>
  </si>
  <si>
    <t>Về điểm số 5 môn học</t>
  </si>
  <si>
    <t>Vùng hợp lệ: 0&lt;= điểm &lt;= 10</t>
  </si>
  <si>
    <t>Vùng không hợp lệ: &lt; 0 hoặc &gt; 10</t>
  </si>
  <si>
    <t>Bộ dữ liệu (Dòng tiêu biểu trong file)</t>
  </si>
  <si>
    <t>Kiểm tra dữ liệu sinh viên hợp lệ (Điểm TB &gt; 5)</t>
  </si>
  <si>
    <t>Kiểm tra dữ liệu sinh viên hợp lệ (Điểm TB &lt;= 5)</t>
  </si>
  <si>
    <t>Kiểm tra tên sinh viên quá dài (&gt; 20 ký tự)</t>
  </si>
  <si>
    <t>Kiểm tra giới tính sai định dạng (&gt; 1 ký tự)</t>
  </si>
  <si>
    <t>Kiểm tra điểm số ngoài khoảng cho phép (&gt; 10)</t>
  </si>
  <si>
    <t>Kiểm tra file vượt quá số dòng quy định</t>
  </si>
  <si>
    <t>Kiểm tra tính toán ĐTB chung theo môn học</t>
  </si>
  <si>
    <t>"Nguyen Van A", "M", (8, 7, 9, 8, 8)</t>
  </si>
  <si>
    <t>"Tran Thi B", "F", (4, 3, 5, 4, 2)</t>
  </si>
  <si>
    <t>"Hoang Van Trường Giang Nam Hải", "M", (7,7,7,7,7)</t>
  </si>
  <si>
    <t>"Le Van C", "Male", (6, 6, 6, 6, 6)</t>
  </si>
  <si>
    <t>"Pham Van D", "M", (11, 8, 7, 9, 8)</t>
  </si>
  <si>
    <t>File chứa 105 dòng sinh viên</t>
  </si>
  <si>
    <t>File 2 SV: SV1(M, môn1: 10), SV2(F, môn1: 8)</t>
  </si>
  <si>
    <t xml:space="preserve">Tính đúng ĐTB Xếp loại: Lên lớp </t>
  </si>
  <si>
    <t xml:space="preserve">Tính đúng ĐTB; Không tính lên lớp </t>
  </si>
  <si>
    <t>Hệ thống báo lỗi dữ liệu tên</t>
  </si>
  <si>
    <t>Hệ thống báo lỗi dữ liệu giới tính</t>
  </si>
  <si>
    <t xml:space="preserve">Hệ thống báo lỗi dữ liệu điểm </t>
  </si>
  <si>
    <t>Hệ thống báo lỗi dung lượng file</t>
  </si>
  <si>
    <t>ĐTB môn 1 =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</si>
</sst>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2" fillId="0" borderId="0" xfId="0" applyFont="1" applyAlignment="1">
      <alignment vertical="center" wrapText="1" readingOrder="1"/>
    </xf>
    <xf numFmtId="49" fontId="2" fillId="0" borderId="0" xfId="0" applyNumberFormat="1" applyFont="1" applyAlignment="1">
      <alignment vertical="center" wrapText="1" readingOrder="1"/>
    </xf>
    <xf numFmtId="0" fontId="1" fillId="0" borderId="0" xfId="0" applyFont="1"/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46" fontId="0" fillId="0" borderId="0" xfId="0" applyNumberFormat="1" applyAlignment="1">
      <alignment vertical="center" wrapText="1"/>
    </xf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Font="1"/>
    <xf numFmtId="0" fontId="1" fillId="0" borderId="1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5274-D811-4D75-B8A5-65C1C166AB11}">
  <dimension ref="A1:F27"/>
  <sheetViews>
    <sheetView workbookViewId="0">
      <selection activeCell="D30" sqref="D30"/>
    </sheetView>
  </sheetViews>
  <sheetFormatPr defaultRowHeight="14" x14ac:dyDescent="0.3"/>
  <cols>
    <col min="1" max="1" width="14" bestFit="1" customWidth="1"/>
    <col min="2" max="2" width="41.9140625" customWidth="1"/>
    <col min="3" max="3" width="18.83203125" bestFit="1" customWidth="1"/>
    <col min="4" max="4" width="35.1640625" bestFit="1" customWidth="1"/>
    <col min="5" max="5" width="30.58203125" bestFit="1" customWidth="1"/>
  </cols>
  <sheetData>
    <row r="1" spans="1:6" x14ac:dyDescent="0.3">
      <c r="A1" t="s">
        <v>0</v>
      </c>
      <c r="B1" s="1" t="s">
        <v>14</v>
      </c>
      <c r="C1" t="s">
        <v>2</v>
      </c>
      <c r="D1" t="s">
        <v>15</v>
      </c>
    </row>
    <row r="2" spans="1:6" x14ac:dyDescent="0.3">
      <c r="A2" t="s">
        <v>1</v>
      </c>
      <c r="B2" t="s">
        <v>13</v>
      </c>
      <c r="C2" t="s">
        <v>3</v>
      </c>
      <c r="E2" t="s">
        <v>4</v>
      </c>
      <c r="F2">
        <v>1</v>
      </c>
    </row>
    <row r="4" spans="1:6" x14ac:dyDescent="0.3">
      <c r="A4" t="s">
        <v>5</v>
      </c>
    </row>
    <row r="6" spans="1:6" x14ac:dyDescent="0.3">
      <c r="A6" t="s">
        <v>6</v>
      </c>
      <c r="B6" t="s">
        <v>13</v>
      </c>
      <c r="C6" t="s">
        <v>7</v>
      </c>
      <c r="D6" s="2">
        <f ca="1">TODAY()</f>
        <v>46028</v>
      </c>
      <c r="E6" t="s">
        <v>8</v>
      </c>
    </row>
    <row r="8" spans="1:6" x14ac:dyDescent="0.3">
      <c r="A8" t="s">
        <v>9</v>
      </c>
      <c r="B8" t="s">
        <v>10</v>
      </c>
      <c r="D8" t="s">
        <v>9</v>
      </c>
      <c r="E8" t="s">
        <v>11</v>
      </c>
    </row>
    <row r="9" spans="1:6" x14ac:dyDescent="0.3">
      <c r="A9" s="1">
        <v>1</v>
      </c>
      <c r="B9" t="s">
        <v>16</v>
      </c>
      <c r="D9" s="1">
        <v>1</v>
      </c>
      <c r="E9" t="s">
        <v>19</v>
      </c>
    </row>
    <row r="10" spans="1:6" x14ac:dyDescent="0.3">
      <c r="A10" s="1">
        <v>2</v>
      </c>
      <c r="B10" t="s">
        <v>17</v>
      </c>
      <c r="D10" s="1">
        <v>2</v>
      </c>
      <c r="E10" t="s">
        <v>20</v>
      </c>
    </row>
    <row r="11" spans="1:6" x14ac:dyDescent="0.3">
      <c r="A11" s="1">
        <v>3</v>
      </c>
      <c r="B11" t="s">
        <v>18</v>
      </c>
    </row>
    <row r="14" spans="1:6" x14ac:dyDescent="0.3">
      <c r="A14" t="s">
        <v>12</v>
      </c>
    </row>
    <row r="15" spans="1:6" x14ac:dyDescent="0.3">
      <c r="B15" t="s">
        <v>21</v>
      </c>
      <c r="C15" t="s">
        <v>22</v>
      </c>
    </row>
    <row r="16" spans="1:6" x14ac:dyDescent="0.3">
      <c r="B16" s="1" t="s">
        <v>23</v>
      </c>
      <c r="C16" t="s">
        <v>26</v>
      </c>
    </row>
    <row r="17" spans="1:4" x14ac:dyDescent="0.3">
      <c r="B17" s="1" t="s">
        <v>24</v>
      </c>
      <c r="C17" t="s">
        <v>27</v>
      </c>
    </row>
    <row r="18" spans="1:4" x14ac:dyDescent="0.3">
      <c r="B18" s="1" t="s">
        <v>25</v>
      </c>
      <c r="C18" t="s">
        <v>28</v>
      </c>
    </row>
    <row r="19" spans="1:4" x14ac:dyDescent="0.3">
      <c r="B19" s="1" t="s">
        <v>21</v>
      </c>
      <c r="C19" t="s">
        <v>29</v>
      </c>
    </row>
    <row r="21" spans="1:4" x14ac:dyDescent="0.3">
      <c r="A21" s="3" t="s">
        <v>30</v>
      </c>
      <c r="B21" s="3" t="s">
        <v>52</v>
      </c>
      <c r="C21" s="3" t="s">
        <v>31</v>
      </c>
      <c r="D21" s="3" t="s">
        <v>51</v>
      </c>
    </row>
    <row r="22" spans="1:4" x14ac:dyDescent="0.3">
      <c r="A22" s="3" t="s">
        <v>33</v>
      </c>
      <c r="B22" s="3" t="s">
        <v>34</v>
      </c>
      <c r="C22" s="3">
        <v>0</v>
      </c>
      <c r="D22" s="3" t="s">
        <v>35</v>
      </c>
    </row>
    <row r="23" spans="1:4" x14ac:dyDescent="0.3">
      <c r="A23" s="3" t="s">
        <v>36</v>
      </c>
      <c r="B23" s="3" t="s">
        <v>37</v>
      </c>
      <c r="C23" s="3">
        <v>-10</v>
      </c>
      <c r="D23" s="3" t="s">
        <v>35</v>
      </c>
    </row>
    <row r="24" spans="1:4" x14ac:dyDescent="0.3">
      <c r="A24" s="3" t="s">
        <v>38</v>
      </c>
      <c r="B24" s="3" t="s">
        <v>39</v>
      </c>
      <c r="C24" s="3">
        <v>50</v>
      </c>
      <c r="D24" s="3" t="s">
        <v>40</v>
      </c>
    </row>
    <row r="25" spans="1:4" x14ac:dyDescent="0.3">
      <c r="A25" s="3" t="s">
        <v>41</v>
      </c>
      <c r="B25" s="3" t="s">
        <v>42</v>
      </c>
      <c r="C25" s="3">
        <v>500</v>
      </c>
      <c r="D25" s="3" t="s">
        <v>43</v>
      </c>
    </row>
    <row r="26" spans="1:4" x14ac:dyDescent="0.3">
      <c r="A26" s="3" t="s">
        <v>44</v>
      </c>
      <c r="B26" s="3" t="s">
        <v>45</v>
      </c>
      <c r="C26" s="3">
        <v>1500</v>
      </c>
      <c r="D26" s="3" t="s">
        <v>46</v>
      </c>
    </row>
    <row r="27" spans="1:4" x14ac:dyDescent="0.3">
      <c r="A27" s="3" t="s">
        <v>47</v>
      </c>
      <c r="B27" s="3" t="s">
        <v>48</v>
      </c>
      <c r="C27" s="3" t="s">
        <v>49</v>
      </c>
      <c r="D27" s="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9059-23BE-494B-BBF6-4E1C4FB9B8D4}">
  <dimension ref="A1:F28"/>
  <sheetViews>
    <sheetView workbookViewId="0">
      <selection activeCell="B22" sqref="B22"/>
    </sheetView>
  </sheetViews>
  <sheetFormatPr defaultRowHeight="14" x14ac:dyDescent="0.3"/>
  <cols>
    <col min="1" max="1" width="14" bestFit="1" customWidth="1"/>
    <col min="2" max="2" width="55.25" bestFit="1" customWidth="1"/>
    <col min="3" max="3" width="67.25" bestFit="1" customWidth="1"/>
    <col min="4" max="4" width="43.75" bestFit="1" customWidth="1"/>
    <col min="5" max="5" width="30.58203125" bestFit="1" customWidth="1"/>
  </cols>
  <sheetData>
    <row r="1" spans="1:6" x14ac:dyDescent="0.3">
      <c r="A1" s="1" t="s">
        <v>0</v>
      </c>
      <c r="B1" s="1" t="s">
        <v>53</v>
      </c>
      <c r="C1" s="1" t="s">
        <v>2</v>
      </c>
      <c r="D1" t="s">
        <v>54</v>
      </c>
      <c r="E1" s="1"/>
    </row>
    <row r="2" spans="1:6" x14ac:dyDescent="0.3">
      <c r="A2" s="1" t="s">
        <v>1</v>
      </c>
      <c r="B2" s="1" t="s">
        <v>13</v>
      </c>
      <c r="C2" s="1" t="s">
        <v>3</v>
      </c>
      <c r="D2" s="1"/>
      <c r="E2" s="1" t="s">
        <v>4</v>
      </c>
      <c r="F2">
        <v>1</v>
      </c>
    </row>
    <row r="4" spans="1:6" x14ac:dyDescent="0.3">
      <c r="A4" t="s">
        <v>5</v>
      </c>
    </row>
    <row r="6" spans="1:6" x14ac:dyDescent="0.3">
      <c r="A6" t="s">
        <v>6</v>
      </c>
      <c r="B6" t="s">
        <v>13</v>
      </c>
      <c r="C6" t="s">
        <v>7</v>
      </c>
      <c r="D6" s="2">
        <f ca="1">TODAY()</f>
        <v>46028</v>
      </c>
      <c r="E6" t="s">
        <v>8</v>
      </c>
    </row>
    <row r="8" spans="1:6" x14ac:dyDescent="0.3">
      <c r="A8" t="s">
        <v>9</v>
      </c>
      <c r="B8" t="s">
        <v>10</v>
      </c>
      <c r="D8" t="s">
        <v>9</v>
      </c>
      <c r="E8" t="s">
        <v>11</v>
      </c>
    </row>
    <row r="9" spans="1:6" x14ac:dyDescent="0.3">
      <c r="A9">
        <v>1</v>
      </c>
      <c r="B9" t="s">
        <v>55</v>
      </c>
      <c r="D9">
        <v>1</v>
      </c>
      <c r="E9" t="s">
        <v>57</v>
      </c>
    </row>
    <row r="10" spans="1:6" x14ac:dyDescent="0.3">
      <c r="A10">
        <v>2</v>
      </c>
      <c r="B10" t="s">
        <v>56</v>
      </c>
      <c r="D10">
        <v>2</v>
      </c>
      <c r="E10" t="s">
        <v>58</v>
      </c>
    </row>
    <row r="14" spans="1:6" x14ac:dyDescent="0.3">
      <c r="A14" t="s">
        <v>12</v>
      </c>
    </row>
    <row r="15" spans="1:6" x14ac:dyDescent="0.3">
      <c r="B15" t="s">
        <v>59</v>
      </c>
      <c r="C15" t="s">
        <v>60</v>
      </c>
    </row>
    <row r="16" spans="1:6" x14ac:dyDescent="0.3">
      <c r="B16" t="s">
        <v>62</v>
      </c>
      <c r="C16" t="s">
        <v>61</v>
      </c>
    </row>
    <row r="17" spans="1:4" x14ac:dyDescent="0.3">
      <c r="B17" t="s">
        <v>63</v>
      </c>
      <c r="C17" t="s">
        <v>64</v>
      </c>
    </row>
    <row r="18" spans="1:4" x14ac:dyDescent="0.3">
      <c r="B18" t="s">
        <v>65</v>
      </c>
      <c r="C18" t="s">
        <v>66</v>
      </c>
    </row>
    <row r="22" spans="1:4" x14ac:dyDescent="0.3">
      <c r="A22" s="4" t="s">
        <v>30</v>
      </c>
      <c r="B22" s="3" t="s">
        <v>52</v>
      </c>
      <c r="C22" s="4" t="s">
        <v>67</v>
      </c>
      <c r="D22" s="4" t="s">
        <v>32</v>
      </c>
    </row>
    <row r="23" spans="1:4" x14ac:dyDescent="0.3">
      <c r="A23" s="4" t="s">
        <v>33</v>
      </c>
      <c r="B23" s="4" t="s">
        <v>68</v>
      </c>
      <c r="C23" s="4">
        <v>12345</v>
      </c>
      <c r="D23" s="4" t="s">
        <v>69</v>
      </c>
    </row>
    <row r="24" spans="1:4" x14ac:dyDescent="0.3">
      <c r="A24" s="4" t="s">
        <v>36</v>
      </c>
      <c r="B24" s="4" t="s">
        <v>70</v>
      </c>
      <c r="C24" s="4">
        <v>123456</v>
      </c>
      <c r="D24" s="4" t="s">
        <v>71</v>
      </c>
    </row>
    <row r="25" spans="1:4" x14ac:dyDescent="0.3">
      <c r="A25" s="4" t="s">
        <v>38</v>
      </c>
      <c r="B25" s="4" t="s">
        <v>72</v>
      </c>
      <c r="C25" s="4">
        <v>12345678</v>
      </c>
      <c r="D25" s="4" t="s">
        <v>71</v>
      </c>
    </row>
    <row r="26" spans="1:4" x14ac:dyDescent="0.3">
      <c r="A26" s="4" t="s">
        <v>41</v>
      </c>
      <c r="B26" s="4" t="s">
        <v>73</v>
      </c>
      <c r="C26" s="4">
        <v>1234567890</v>
      </c>
      <c r="D26" s="4" t="s">
        <v>71</v>
      </c>
    </row>
    <row r="27" spans="1:4" x14ac:dyDescent="0.3">
      <c r="A27" s="4" t="s">
        <v>44</v>
      </c>
      <c r="B27" s="4" t="s">
        <v>74</v>
      </c>
      <c r="C27" s="4">
        <v>12345678901</v>
      </c>
      <c r="D27" s="4" t="s">
        <v>69</v>
      </c>
    </row>
    <row r="28" spans="1:4" x14ac:dyDescent="0.3">
      <c r="A28" s="4" t="s">
        <v>47</v>
      </c>
      <c r="B28" s="4" t="s">
        <v>75</v>
      </c>
      <c r="C28" s="4" t="s">
        <v>76</v>
      </c>
      <c r="D28" s="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42B8-BC16-4CCF-B5F0-F9DCE6EAFB2A}">
  <dimension ref="A1:F31"/>
  <sheetViews>
    <sheetView topLeftCell="A7" workbookViewId="0">
      <selection activeCell="B24" sqref="B24"/>
    </sheetView>
  </sheetViews>
  <sheetFormatPr defaultRowHeight="14" x14ac:dyDescent="0.3"/>
  <cols>
    <col min="1" max="1" width="14" style="1" bestFit="1" customWidth="1"/>
    <col min="2" max="2" width="33.4140625" style="1" bestFit="1" customWidth="1"/>
    <col min="3" max="3" width="27.75" style="1" customWidth="1"/>
    <col min="4" max="4" width="69.25" style="1" bestFit="1" customWidth="1"/>
    <col min="5" max="5" width="30.58203125" style="1" bestFit="1" customWidth="1"/>
    <col min="6" max="16384" width="8.6640625" style="1"/>
  </cols>
  <sheetData>
    <row r="1" spans="1:6" x14ac:dyDescent="0.3">
      <c r="A1" s="1" t="s">
        <v>0</v>
      </c>
      <c r="B1" s="1" t="s">
        <v>78</v>
      </c>
      <c r="C1" s="1" t="s">
        <v>2</v>
      </c>
      <c r="D1" t="s">
        <v>80</v>
      </c>
    </row>
    <row r="2" spans="1:6" x14ac:dyDescent="0.3">
      <c r="A2" s="1" t="s">
        <v>1</v>
      </c>
      <c r="B2" s="1" t="s">
        <v>13</v>
      </c>
      <c r="C2" s="1" t="s">
        <v>3</v>
      </c>
      <c r="E2" s="1" t="s">
        <v>4</v>
      </c>
      <c r="F2" s="1" t="s">
        <v>79</v>
      </c>
    </row>
    <row r="4" spans="1:6" x14ac:dyDescent="0.3">
      <c r="A4" s="1" t="s">
        <v>5</v>
      </c>
    </row>
    <row r="6" spans="1:6" x14ac:dyDescent="0.3">
      <c r="A6" s="1" t="s">
        <v>6</v>
      </c>
      <c r="B6" s="1" t="s">
        <v>13</v>
      </c>
      <c r="C6" s="1" t="s">
        <v>7</v>
      </c>
      <c r="D6" s="2">
        <f ca="1">TODAY()</f>
        <v>46028</v>
      </c>
      <c r="E6" s="1" t="s">
        <v>8</v>
      </c>
    </row>
    <row r="8" spans="1:6" x14ac:dyDescent="0.3">
      <c r="A8" s="1" t="s">
        <v>9</v>
      </c>
      <c r="B8" s="1" t="s">
        <v>10</v>
      </c>
      <c r="D8" s="1" t="s">
        <v>9</v>
      </c>
      <c r="E8" s="1" t="s">
        <v>11</v>
      </c>
    </row>
    <row r="9" spans="1:6" x14ac:dyDescent="0.3">
      <c r="A9" s="1" t="s">
        <v>79</v>
      </c>
      <c r="B9" t="s">
        <v>93</v>
      </c>
      <c r="D9" s="1" t="s">
        <v>79</v>
      </c>
      <c r="E9" t="s">
        <v>95</v>
      </c>
    </row>
    <row r="10" spans="1:6" x14ac:dyDescent="0.3">
      <c r="A10" s="1" t="s">
        <v>92</v>
      </c>
      <c r="B10" t="s">
        <v>94</v>
      </c>
      <c r="D10" s="1" t="s">
        <v>92</v>
      </c>
      <c r="E10" t="s">
        <v>96</v>
      </c>
    </row>
    <row r="14" spans="1:6" x14ac:dyDescent="0.3">
      <c r="A14" s="1" t="s">
        <v>12</v>
      </c>
    </row>
    <row r="15" spans="1:6" x14ac:dyDescent="0.3">
      <c r="B15" t="s">
        <v>81</v>
      </c>
      <c r="C15" t="s">
        <v>82</v>
      </c>
    </row>
    <row r="16" spans="1:6" x14ac:dyDescent="0.3">
      <c r="B16" t="s">
        <v>83</v>
      </c>
      <c r="C16" t="s">
        <v>84</v>
      </c>
    </row>
    <row r="17" spans="1:4" x14ac:dyDescent="0.3">
      <c r="B17" t="s">
        <v>85</v>
      </c>
      <c r="C17" t="s">
        <v>86</v>
      </c>
    </row>
    <row r="18" spans="1:4" x14ac:dyDescent="0.3">
      <c r="B18" t="s">
        <v>87</v>
      </c>
      <c r="C18" t="s">
        <v>88</v>
      </c>
    </row>
    <row r="20" spans="1:4" x14ac:dyDescent="0.3">
      <c r="B20" t="s">
        <v>89</v>
      </c>
    </row>
    <row r="21" spans="1:4" x14ac:dyDescent="0.3">
      <c r="B21" t="s">
        <v>90</v>
      </c>
    </row>
    <row r="22" spans="1:4" x14ac:dyDescent="0.3">
      <c r="B22" s="5" t="s">
        <v>91</v>
      </c>
    </row>
    <row r="24" spans="1:4" x14ac:dyDescent="0.3">
      <c r="A24" s="6" t="s">
        <v>30</v>
      </c>
      <c r="B24" s="3" t="s">
        <v>52</v>
      </c>
      <c r="C24" s="6" t="s">
        <v>97</v>
      </c>
      <c r="D24" s="6" t="s">
        <v>51</v>
      </c>
    </row>
    <row r="25" spans="1:4" x14ac:dyDescent="0.3">
      <c r="A25" s="6" t="s">
        <v>33</v>
      </c>
      <c r="B25" s="6" t="s">
        <v>98</v>
      </c>
      <c r="C25" s="7">
        <v>0.33333333333333331</v>
      </c>
      <c r="D25" s="6" t="s">
        <v>106</v>
      </c>
    </row>
    <row r="26" spans="1:4" x14ac:dyDescent="0.3">
      <c r="A26" s="6" t="s">
        <v>36</v>
      </c>
      <c r="B26" s="6" t="s">
        <v>99</v>
      </c>
      <c r="C26" s="7">
        <v>0.45833333333333331</v>
      </c>
      <c r="D26" s="6" t="s">
        <v>107</v>
      </c>
    </row>
    <row r="27" spans="1:4" x14ac:dyDescent="0.3">
      <c r="A27" s="6" t="s">
        <v>38</v>
      </c>
      <c r="B27" s="6" t="s">
        <v>100</v>
      </c>
      <c r="C27" s="7">
        <v>0.72916666666666663</v>
      </c>
      <c r="D27" s="6" t="s">
        <v>106</v>
      </c>
    </row>
    <row r="28" spans="1:4" x14ac:dyDescent="0.3">
      <c r="A28" s="6" t="s">
        <v>41</v>
      </c>
      <c r="B28" s="6" t="s">
        <v>101</v>
      </c>
      <c r="C28" s="7">
        <v>0.875</v>
      </c>
      <c r="D28" s="6" t="s">
        <v>107</v>
      </c>
    </row>
    <row r="29" spans="1:4" x14ac:dyDescent="0.3">
      <c r="A29" s="6" t="s">
        <v>44</v>
      </c>
      <c r="B29" s="6" t="s">
        <v>102</v>
      </c>
      <c r="C29" s="7">
        <v>0.39583333333333331</v>
      </c>
      <c r="D29" s="6" t="s">
        <v>107</v>
      </c>
    </row>
    <row r="30" spans="1:4" x14ac:dyDescent="0.3">
      <c r="A30" s="6" t="s">
        <v>47</v>
      </c>
      <c r="B30" s="6" t="s">
        <v>103</v>
      </c>
      <c r="C30" s="8">
        <v>1.0833333333333333</v>
      </c>
      <c r="D30" s="6" t="s">
        <v>108</v>
      </c>
    </row>
    <row r="31" spans="1:4" x14ac:dyDescent="0.3">
      <c r="A31" s="6" t="s">
        <v>104</v>
      </c>
      <c r="B31" s="6" t="s">
        <v>105</v>
      </c>
      <c r="C31" s="6" t="s">
        <v>110</v>
      </c>
      <c r="D31" s="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B036-DE4D-49CB-8F51-1CF6B80C1630}">
  <dimension ref="A1:F33"/>
  <sheetViews>
    <sheetView workbookViewId="0">
      <selection activeCell="B26" sqref="B26"/>
    </sheetView>
  </sheetViews>
  <sheetFormatPr defaultRowHeight="14" x14ac:dyDescent="0.3"/>
  <cols>
    <col min="1" max="1" width="14" bestFit="1" customWidth="1"/>
    <col min="2" max="2" width="35.83203125" bestFit="1" customWidth="1"/>
    <col min="3" max="3" width="53.75" bestFit="1" customWidth="1"/>
    <col min="4" max="4" width="47" bestFit="1" customWidth="1"/>
    <col min="5" max="5" width="30.58203125" bestFit="1" customWidth="1"/>
  </cols>
  <sheetData>
    <row r="1" spans="1:6" x14ac:dyDescent="0.3">
      <c r="A1" t="s">
        <v>0</v>
      </c>
      <c r="B1">
        <v>4</v>
      </c>
      <c r="C1" t="s">
        <v>2</v>
      </c>
      <c r="D1" t="s">
        <v>111</v>
      </c>
    </row>
    <row r="2" spans="1:6" x14ac:dyDescent="0.3">
      <c r="A2" t="s">
        <v>1</v>
      </c>
      <c r="B2" t="s">
        <v>13</v>
      </c>
      <c r="C2" t="s">
        <v>3</v>
      </c>
      <c r="E2" t="s">
        <v>4</v>
      </c>
      <c r="F2">
        <v>1</v>
      </c>
    </row>
    <row r="4" spans="1:6" x14ac:dyDescent="0.3">
      <c r="A4" t="s">
        <v>5</v>
      </c>
    </row>
    <row r="6" spans="1:6" x14ac:dyDescent="0.3">
      <c r="A6" t="s">
        <v>6</v>
      </c>
      <c r="B6" t="s">
        <v>13</v>
      </c>
      <c r="C6" t="s">
        <v>7</v>
      </c>
      <c r="D6" s="2">
        <f ca="1">TODAY()</f>
        <v>46028</v>
      </c>
      <c r="E6" t="s">
        <v>8</v>
      </c>
    </row>
    <row r="8" spans="1:6" x14ac:dyDescent="0.3">
      <c r="A8" t="s">
        <v>9</v>
      </c>
      <c r="B8" t="s">
        <v>10</v>
      </c>
      <c r="D8" t="s">
        <v>9</v>
      </c>
      <c r="E8" t="s">
        <v>11</v>
      </c>
    </row>
    <row r="9" spans="1:6" x14ac:dyDescent="0.3">
      <c r="A9">
        <v>1</v>
      </c>
      <c r="B9" t="s">
        <v>112</v>
      </c>
      <c r="D9">
        <v>1</v>
      </c>
      <c r="E9" t="s">
        <v>114</v>
      </c>
    </row>
    <row r="10" spans="1:6" x14ac:dyDescent="0.3">
      <c r="A10">
        <v>2</v>
      </c>
      <c r="B10" t="s">
        <v>113</v>
      </c>
      <c r="D10">
        <v>2</v>
      </c>
      <c r="E10" t="s">
        <v>115</v>
      </c>
    </row>
    <row r="14" spans="1:6" x14ac:dyDescent="0.3">
      <c r="A14" t="s">
        <v>12</v>
      </c>
    </row>
    <row r="15" spans="1:6" x14ac:dyDescent="0.3">
      <c r="B15" t="s">
        <v>131</v>
      </c>
      <c r="C15" t="s">
        <v>134</v>
      </c>
      <c r="D15" t="s">
        <v>137</v>
      </c>
    </row>
    <row r="16" spans="1:6" x14ac:dyDescent="0.3">
      <c r="B16" t="s">
        <v>132</v>
      </c>
      <c r="C16" t="s">
        <v>135</v>
      </c>
      <c r="D16" s="9">
        <v>150000</v>
      </c>
    </row>
    <row r="17" spans="1:4" x14ac:dyDescent="0.3">
      <c r="B17" t="s">
        <v>133</v>
      </c>
      <c r="C17" t="s">
        <v>136</v>
      </c>
      <c r="D17" s="9">
        <v>300000</v>
      </c>
    </row>
    <row r="19" spans="1:4" x14ac:dyDescent="0.3">
      <c r="B19" t="s">
        <v>138</v>
      </c>
      <c r="C19" t="s">
        <v>139</v>
      </c>
      <c r="D19" s="10" t="s">
        <v>146</v>
      </c>
    </row>
    <row r="20" spans="1:4" x14ac:dyDescent="0.3">
      <c r="B20" t="s">
        <v>140</v>
      </c>
      <c r="C20" t="s">
        <v>141</v>
      </c>
      <c r="D20" s="10"/>
    </row>
    <row r="21" spans="1:4" x14ac:dyDescent="0.3">
      <c r="B21" t="s">
        <v>142</v>
      </c>
      <c r="C21" t="s">
        <v>143</v>
      </c>
      <c r="D21" s="10"/>
    </row>
    <row r="22" spans="1:4" x14ac:dyDescent="0.3">
      <c r="B22" t="s">
        <v>144</v>
      </c>
      <c r="C22" t="s">
        <v>145</v>
      </c>
      <c r="D22" s="10"/>
    </row>
    <row r="26" spans="1:4" x14ac:dyDescent="0.3">
      <c r="A26" s="6" t="s">
        <v>30</v>
      </c>
      <c r="B26" s="3" t="s">
        <v>52</v>
      </c>
      <c r="C26" s="6" t="s">
        <v>116</v>
      </c>
      <c r="D26" s="6" t="s">
        <v>51</v>
      </c>
    </row>
    <row r="27" spans="1:4" x14ac:dyDescent="0.3">
      <c r="A27" s="6" t="s">
        <v>33</v>
      </c>
      <c r="B27" s="6" t="s">
        <v>117</v>
      </c>
      <c r="C27" s="6">
        <v>-10</v>
      </c>
      <c r="D27" s="6" t="s">
        <v>126</v>
      </c>
    </row>
    <row r="28" spans="1:4" x14ac:dyDescent="0.3">
      <c r="A28" s="6" t="s">
        <v>36</v>
      </c>
      <c r="B28" s="6" t="s">
        <v>118</v>
      </c>
      <c r="C28" s="6">
        <v>20</v>
      </c>
      <c r="D28" s="6" t="s">
        <v>119</v>
      </c>
    </row>
    <row r="29" spans="1:4" x14ac:dyDescent="0.3">
      <c r="A29" s="6" t="s">
        <v>38</v>
      </c>
      <c r="B29" s="6" t="s">
        <v>120</v>
      </c>
      <c r="C29" s="6">
        <v>70</v>
      </c>
      <c r="D29" s="6" t="s">
        <v>127</v>
      </c>
    </row>
    <row r="30" spans="1:4" ht="28" x14ac:dyDescent="0.3">
      <c r="A30" s="6" t="s">
        <v>41</v>
      </c>
      <c r="B30" s="6" t="s">
        <v>121</v>
      </c>
      <c r="C30" s="6">
        <v>120</v>
      </c>
      <c r="D30" s="6" t="s">
        <v>128</v>
      </c>
    </row>
    <row r="31" spans="1:4" x14ac:dyDescent="0.3">
      <c r="A31" s="6" t="s">
        <v>44</v>
      </c>
      <c r="B31" s="6" t="s">
        <v>122</v>
      </c>
      <c r="C31" s="6">
        <v>170</v>
      </c>
      <c r="D31" s="6" t="s">
        <v>129</v>
      </c>
    </row>
    <row r="32" spans="1:4" x14ac:dyDescent="0.3">
      <c r="A32" s="6" t="s">
        <v>47</v>
      </c>
      <c r="B32" s="6" t="s">
        <v>123</v>
      </c>
      <c r="C32" s="6">
        <v>210</v>
      </c>
      <c r="D32" s="6" t="s">
        <v>130</v>
      </c>
    </row>
    <row r="33" spans="1:4" x14ac:dyDescent="0.3">
      <c r="A33" s="6" t="s">
        <v>104</v>
      </c>
      <c r="B33" s="6" t="s">
        <v>124</v>
      </c>
      <c r="C33" s="6" t="s">
        <v>125</v>
      </c>
      <c r="D33" s="6" t="s">
        <v>109</v>
      </c>
    </row>
  </sheetData>
  <mergeCells count="1">
    <mergeCell ref="D19:D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2069-C9D1-4940-A1AE-410CBFEF98EE}">
  <dimension ref="A1:F31"/>
  <sheetViews>
    <sheetView workbookViewId="0">
      <selection activeCell="B25" sqref="B25"/>
    </sheetView>
  </sheetViews>
  <sheetFormatPr defaultRowHeight="14" x14ac:dyDescent="0.3"/>
  <cols>
    <col min="1" max="1" width="17.1640625" bestFit="1" customWidth="1"/>
    <col min="2" max="2" width="39.25" bestFit="1" customWidth="1"/>
    <col min="3" max="3" width="18.83203125" bestFit="1" customWidth="1"/>
    <col min="4" max="4" width="49.25" bestFit="1" customWidth="1"/>
    <col min="5" max="5" width="30.58203125" bestFit="1" customWidth="1"/>
  </cols>
  <sheetData>
    <row r="1" spans="1:6" x14ac:dyDescent="0.3">
      <c r="A1" t="s">
        <v>0</v>
      </c>
      <c r="B1" s="1" t="s">
        <v>147</v>
      </c>
      <c r="C1" t="s">
        <v>2</v>
      </c>
      <c r="D1" t="s">
        <v>148</v>
      </c>
    </row>
    <row r="2" spans="1:6" x14ac:dyDescent="0.3">
      <c r="A2" t="s">
        <v>1</v>
      </c>
      <c r="C2" t="s">
        <v>3</v>
      </c>
      <c r="E2" t="s">
        <v>4</v>
      </c>
      <c r="F2">
        <v>1</v>
      </c>
    </row>
    <row r="4" spans="1:6" x14ac:dyDescent="0.3">
      <c r="A4" t="s">
        <v>5</v>
      </c>
    </row>
    <row r="6" spans="1:6" x14ac:dyDescent="0.3">
      <c r="A6" t="s">
        <v>6</v>
      </c>
      <c r="B6" t="s">
        <v>13</v>
      </c>
      <c r="C6" t="s">
        <v>7</v>
      </c>
      <c r="D6" s="2">
        <f ca="1">TODAY()</f>
        <v>46028</v>
      </c>
      <c r="E6" t="s">
        <v>8</v>
      </c>
    </row>
    <row r="8" spans="1:6" x14ac:dyDescent="0.3">
      <c r="A8" t="s">
        <v>9</v>
      </c>
      <c r="B8" t="s">
        <v>10</v>
      </c>
      <c r="D8" t="s">
        <v>9</v>
      </c>
      <c r="E8" t="s">
        <v>11</v>
      </c>
    </row>
    <row r="9" spans="1:6" x14ac:dyDescent="0.3">
      <c r="A9">
        <v>1</v>
      </c>
      <c r="B9" t="s">
        <v>149</v>
      </c>
      <c r="D9">
        <v>1</v>
      </c>
      <c r="E9" t="s">
        <v>151</v>
      </c>
    </row>
    <row r="10" spans="1:6" x14ac:dyDescent="0.3">
      <c r="A10">
        <v>2</v>
      </c>
      <c r="B10" t="s">
        <v>150</v>
      </c>
    </row>
    <row r="14" spans="1:6" x14ac:dyDescent="0.3">
      <c r="A14" t="s">
        <v>12</v>
      </c>
    </row>
    <row r="15" spans="1:6" x14ac:dyDescent="0.3">
      <c r="A15" t="s">
        <v>131</v>
      </c>
      <c r="B15" t="s">
        <v>154</v>
      </c>
      <c r="C15" t="s">
        <v>156</v>
      </c>
    </row>
    <row r="16" spans="1:6" x14ac:dyDescent="0.3">
      <c r="A16" t="s">
        <v>132</v>
      </c>
      <c r="B16" t="s">
        <v>155</v>
      </c>
      <c r="C16" t="s">
        <v>157</v>
      </c>
    </row>
    <row r="18" spans="1:4" x14ac:dyDescent="0.3">
      <c r="A18" t="s">
        <v>138</v>
      </c>
      <c r="B18" t="s">
        <v>158</v>
      </c>
      <c r="C18" s="10" t="s">
        <v>146</v>
      </c>
    </row>
    <row r="19" spans="1:4" x14ac:dyDescent="0.3">
      <c r="A19" t="s">
        <v>140</v>
      </c>
      <c r="B19" t="s">
        <v>159</v>
      </c>
      <c r="C19" s="10"/>
    </row>
    <row r="20" spans="1:4" x14ac:dyDescent="0.3">
      <c r="A20" t="s">
        <v>142</v>
      </c>
      <c r="B20" t="s">
        <v>160</v>
      </c>
      <c r="C20" s="10"/>
    </row>
    <row r="25" spans="1:4" x14ac:dyDescent="0.3">
      <c r="A25" s="6" t="s">
        <v>30</v>
      </c>
      <c r="B25" s="3" t="s">
        <v>52</v>
      </c>
      <c r="C25" s="6" t="s">
        <v>152</v>
      </c>
      <c r="D25" s="6" t="s">
        <v>51</v>
      </c>
    </row>
    <row r="26" spans="1:4" x14ac:dyDescent="0.3">
      <c r="A26" s="6" t="s">
        <v>33</v>
      </c>
      <c r="B26" s="6" t="s">
        <v>161</v>
      </c>
      <c r="C26" s="6">
        <v>15</v>
      </c>
      <c r="D26" s="6" t="s">
        <v>162</v>
      </c>
    </row>
    <row r="27" spans="1:4" x14ac:dyDescent="0.3">
      <c r="A27" s="6" t="s">
        <v>36</v>
      </c>
      <c r="B27" s="6" t="s">
        <v>163</v>
      </c>
      <c r="C27" s="6">
        <v>22</v>
      </c>
      <c r="D27" s="6" t="s">
        <v>164</v>
      </c>
    </row>
    <row r="28" spans="1:4" x14ac:dyDescent="0.3">
      <c r="A28" s="6" t="s">
        <v>38</v>
      </c>
      <c r="B28" s="6" t="s">
        <v>165</v>
      </c>
      <c r="C28" s="6">
        <v>28</v>
      </c>
      <c r="D28" s="6" t="s">
        <v>166</v>
      </c>
    </row>
    <row r="29" spans="1:4" x14ac:dyDescent="0.3">
      <c r="A29" s="6" t="s">
        <v>41</v>
      </c>
      <c r="B29" s="6" t="s">
        <v>167</v>
      </c>
      <c r="C29" s="6">
        <v>35</v>
      </c>
      <c r="D29" s="6" t="s">
        <v>162</v>
      </c>
    </row>
    <row r="30" spans="1:4" ht="28" x14ac:dyDescent="0.3">
      <c r="A30" s="6" t="s">
        <v>44</v>
      </c>
      <c r="B30" s="6" t="s">
        <v>168</v>
      </c>
      <c r="C30" s="6">
        <v>22.5</v>
      </c>
      <c r="D30" s="6" t="s">
        <v>169</v>
      </c>
    </row>
    <row r="31" spans="1:4" x14ac:dyDescent="0.3">
      <c r="A31" s="6" t="s">
        <v>47</v>
      </c>
      <c r="B31" s="6" t="s">
        <v>170</v>
      </c>
      <c r="C31" s="6" t="s">
        <v>153</v>
      </c>
      <c r="D31" s="6" t="s">
        <v>171</v>
      </c>
    </row>
  </sheetData>
  <mergeCells count="1">
    <mergeCell ref="C18:C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1E78-43C9-4855-8109-14DB224B46EB}">
  <dimension ref="A1:F29"/>
  <sheetViews>
    <sheetView workbookViewId="0">
      <selection activeCell="B23" sqref="B23"/>
    </sheetView>
  </sheetViews>
  <sheetFormatPr defaultRowHeight="14" x14ac:dyDescent="0.3"/>
  <cols>
    <col min="1" max="1" width="14" bestFit="1" customWidth="1"/>
    <col min="2" max="2" width="35.58203125" bestFit="1" customWidth="1"/>
    <col min="3" max="3" width="27.1640625" bestFit="1" customWidth="1"/>
    <col min="4" max="4" width="34.4140625" customWidth="1"/>
    <col min="5" max="5" width="56.5" bestFit="1" customWidth="1"/>
  </cols>
  <sheetData>
    <row r="1" spans="1:6" x14ac:dyDescent="0.3">
      <c r="A1" t="s">
        <v>0</v>
      </c>
      <c r="B1" s="1" t="s">
        <v>172</v>
      </c>
      <c r="C1" t="s">
        <v>2</v>
      </c>
      <c r="E1" t="s">
        <v>177</v>
      </c>
    </row>
    <row r="2" spans="1:6" x14ac:dyDescent="0.3">
      <c r="A2" t="s">
        <v>1</v>
      </c>
      <c r="B2" s="1" t="s">
        <v>13</v>
      </c>
      <c r="C2" t="s">
        <v>3</v>
      </c>
      <c r="E2" t="s">
        <v>4</v>
      </c>
      <c r="F2">
        <v>1</v>
      </c>
    </row>
    <row r="4" spans="1:6" x14ac:dyDescent="0.3">
      <c r="A4" t="s">
        <v>5</v>
      </c>
    </row>
    <row r="6" spans="1:6" x14ac:dyDescent="0.3">
      <c r="A6" t="s">
        <v>6</v>
      </c>
      <c r="B6" t="s">
        <v>13</v>
      </c>
      <c r="C6" t="s">
        <v>7</v>
      </c>
      <c r="D6" s="2">
        <f ca="1">TODAY()</f>
        <v>46028</v>
      </c>
      <c r="E6" t="s">
        <v>8</v>
      </c>
    </row>
    <row r="8" spans="1:6" x14ac:dyDescent="0.3">
      <c r="A8" t="s">
        <v>9</v>
      </c>
      <c r="B8" t="s">
        <v>10</v>
      </c>
      <c r="D8" t="s">
        <v>9</v>
      </c>
      <c r="E8" t="s">
        <v>11</v>
      </c>
    </row>
    <row r="9" spans="1:6" ht="14.5" thickBot="1" x14ac:dyDescent="0.35">
      <c r="A9">
        <v>1</v>
      </c>
      <c r="B9" t="s">
        <v>173</v>
      </c>
      <c r="D9">
        <v>1</v>
      </c>
      <c r="E9" t="s">
        <v>57</v>
      </c>
    </row>
    <row r="10" spans="1:6" ht="14.5" thickBot="1" x14ac:dyDescent="0.35">
      <c r="A10">
        <v>2</v>
      </c>
      <c r="B10" t="s">
        <v>174</v>
      </c>
      <c r="D10">
        <v>2</v>
      </c>
      <c r="E10" s="11" t="s">
        <v>175</v>
      </c>
    </row>
    <row r="14" spans="1:6" x14ac:dyDescent="0.3">
      <c r="A14" t="s">
        <v>12</v>
      </c>
    </row>
    <row r="15" spans="1:6" x14ac:dyDescent="0.3">
      <c r="B15" t="s">
        <v>180</v>
      </c>
      <c r="C15" t="s">
        <v>179</v>
      </c>
    </row>
    <row r="16" spans="1:6" x14ac:dyDescent="0.3">
      <c r="B16" t="s">
        <v>176</v>
      </c>
      <c r="C16" t="s">
        <v>178</v>
      </c>
    </row>
    <row r="18" spans="1:4" x14ac:dyDescent="0.3">
      <c r="B18" s="12" t="s">
        <v>181</v>
      </c>
      <c r="C18" t="s">
        <v>182</v>
      </c>
    </row>
    <row r="19" spans="1:4" x14ac:dyDescent="0.3">
      <c r="B19" t="s">
        <v>184</v>
      </c>
      <c r="C19" t="s">
        <v>185</v>
      </c>
    </row>
    <row r="20" spans="1:4" x14ac:dyDescent="0.3">
      <c r="B20" s="12" t="s">
        <v>183</v>
      </c>
      <c r="C20" t="s">
        <v>186</v>
      </c>
    </row>
    <row r="23" spans="1:4" x14ac:dyDescent="0.3">
      <c r="A23" s="14" t="s">
        <v>30</v>
      </c>
      <c r="B23" s="3" t="s">
        <v>52</v>
      </c>
      <c r="C23" s="14" t="s">
        <v>67</v>
      </c>
      <c r="D23" s="14" t="s">
        <v>32</v>
      </c>
    </row>
    <row r="24" spans="1:4" ht="28" x14ac:dyDescent="0.3">
      <c r="A24" s="14" t="s">
        <v>33</v>
      </c>
      <c r="B24" s="14" t="s">
        <v>187</v>
      </c>
      <c r="C24" s="14" t="s">
        <v>188</v>
      </c>
      <c r="D24" s="14" t="s">
        <v>200</v>
      </c>
    </row>
    <row r="25" spans="1:4" x14ac:dyDescent="0.3">
      <c r="A25" s="14" t="s">
        <v>36</v>
      </c>
      <c r="B25" s="14" t="s">
        <v>196</v>
      </c>
      <c r="C25" s="14" t="s">
        <v>189</v>
      </c>
      <c r="D25" s="14" t="s">
        <v>199</v>
      </c>
    </row>
    <row r="26" spans="1:4" x14ac:dyDescent="0.3">
      <c r="A26" s="14" t="s">
        <v>38</v>
      </c>
      <c r="B26" s="14" t="s">
        <v>197</v>
      </c>
      <c r="C26" s="14" t="s">
        <v>190</v>
      </c>
      <c r="D26" s="14" t="s">
        <v>201</v>
      </c>
    </row>
    <row r="27" spans="1:4" ht="28" x14ac:dyDescent="0.3">
      <c r="A27" s="14" t="s">
        <v>41</v>
      </c>
      <c r="B27" s="14" t="s">
        <v>198</v>
      </c>
      <c r="C27" s="14" t="s">
        <v>191</v>
      </c>
      <c r="D27" s="14" t="s">
        <v>199</v>
      </c>
    </row>
    <row r="28" spans="1:4" x14ac:dyDescent="0.3">
      <c r="A28" s="14" t="s">
        <v>44</v>
      </c>
      <c r="B28" s="14" t="s">
        <v>192</v>
      </c>
      <c r="C28" s="14" t="s">
        <v>193</v>
      </c>
      <c r="D28" s="14" t="s">
        <v>201</v>
      </c>
    </row>
    <row r="29" spans="1:4" x14ac:dyDescent="0.3">
      <c r="A29" s="14" t="s">
        <v>47</v>
      </c>
      <c r="B29" s="14" t="s">
        <v>194</v>
      </c>
      <c r="C29" s="14" t="s">
        <v>195</v>
      </c>
      <c r="D29" s="14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65F0-066B-40A5-98E6-DB13736EE893}">
  <dimension ref="A1:F39"/>
  <sheetViews>
    <sheetView tabSelected="1" topLeftCell="A4" workbookViewId="0">
      <selection activeCell="D39" sqref="D39"/>
    </sheetView>
  </sheetViews>
  <sheetFormatPr defaultRowHeight="14" x14ac:dyDescent="0.3"/>
  <cols>
    <col min="1" max="1" width="14" bestFit="1" customWidth="1"/>
    <col min="2" max="2" width="39.83203125" bestFit="1" customWidth="1"/>
    <col min="3" max="3" width="44.25" bestFit="1" customWidth="1"/>
    <col min="4" max="4" width="47" bestFit="1" customWidth="1"/>
    <col min="5" max="5" width="42.6640625" customWidth="1"/>
  </cols>
  <sheetData>
    <row r="1" spans="1:6" x14ac:dyDescent="0.3">
      <c r="A1" t="s">
        <v>0</v>
      </c>
      <c r="B1" s="1" t="s">
        <v>202</v>
      </c>
      <c r="C1" t="s">
        <v>2</v>
      </c>
      <c r="D1" t="s">
        <v>203</v>
      </c>
    </row>
    <row r="2" spans="1:6" x14ac:dyDescent="0.3">
      <c r="A2" t="s">
        <v>1</v>
      </c>
      <c r="B2" s="1" t="s">
        <v>13</v>
      </c>
      <c r="C2" t="s">
        <v>3</v>
      </c>
      <c r="E2" t="s">
        <v>4</v>
      </c>
      <c r="F2">
        <v>1</v>
      </c>
    </row>
    <row r="4" spans="1:6" x14ac:dyDescent="0.3">
      <c r="A4" t="s">
        <v>5</v>
      </c>
    </row>
    <row r="6" spans="1:6" x14ac:dyDescent="0.3">
      <c r="A6" t="s">
        <v>6</v>
      </c>
      <c r="B6" t="s">
        <v>204</v>
      </c>
      <c r="C6" t="s">
        <v>7</v>
      </c>
      <c r="D6" s="2">
        <f ca="1">TODAY()</f>
        <v>46028</v>
      </c>
      <c r="E6" t="s">
        <v>8</v>
      </c>
    </row>
    <row r="8" spans="1:6" x14ac:dyDescent="0.3">
      <c r="A8" t="s">
        <v>9</v>
      </c>
      <c r="B8" t="s">
        <v>10</v>
      </c>
      <c r="D8" t="s">
        <v>9</v>
      </c>
      <c r="E8" t="s">
        <v>11</v>
      </c>
    </row>
    <row r="9" spans="1:6" x14ac:dyDescent="0.3">
      <c r="A9">
        <v>1</v>
      </c>
      <c r="B9" t="s">
        <v>205</v>
      </c>
      <c r="D9">
        <v>1</v>
      </c>
      <c r="E9" t="s">
        <v>207</v>
      </c>
    </row>
    <row r="10" spans="1:6" x14ac:dyDescent="0.3">
      <c r="A10">
        <v>2</v>
      </c>
      <c r="B10" t="s">
        <v>206</v>
      </c>
      <c r="D10">
        <v>2</v>
      </c>
      <c r="E10" t="s">
        <v>208</v>
      </c>
    </row>
    <row r="14" spans="1:6" x14ac:dyDescent="0.3">
      <c r="A14" t="s">
        <v>12</v>
      </c>
    </row>
    <row r="15" spans="1:6" x14ac:dyDescent="0.3">
      <c r="B15" s="5" t="s">
        <v>209</v>
      </c>
    </row>
    <row r="16" spans="1:6" x14ac:dyDescent="0.3">
      <c r="B16" t="s">
        <v>210</v>
      </c>
    </row>
    <row r="17" spans="1:4" x14ac:dyDescent="0.3">
      <c r="B17" t="s">
        <v>211</v>
      </c>
    </row>
    <row r="19" spans="1:4" x14ac:dyDescent="0.3">
      <c r="B19" s="5" t="s">
        <v>212</v>
      </c>
    </row>
    <row r="20" spans="1:4" x14ac:dyDescent="0.3">
      <c r="B20" s="12" t="s">
        <v>213</v>
      </c>
    </row>
    <row r="21" spans="1:4" x14ac:dyDescent="0.3">
      <c r="B21" t="s">
        <v>214</v>
      </c>
    </row>
    <row r="23" spans="1:4" x14ac:dyDescent="0.3">
      <c r="B23" s="5" t="s">
        <v>215</v>
      </c>
    </row>
    <row r="24" spans="1:4" x14ac:dyDescent="0.3">
      <c r="B24" t="s">
        <v>216</v>
      </c>
    </row>
    <row r="25" spans="1:4" x14ac:dyDescent="0.3">
      <c r="B25" t="s">
        <v>217</v>
      </c>
    </row>
    <row r="27" spans="1:4" x14ac:dyDescent="0.3">
      <c r="B27" s="5" t="s">
        <v>218</v>
      </c>
    </row>
    <row r="28" spans="1:4" x14ac:dyDescent="0.3">
      <c r="B28" t="s">
        <v>219</v>
      </c>
    </row>
    <row r="29" spans="1:4" x14ac:dyDescent="0.3">
      <c r="B29" t="s">
        <v>220</v>
      </c>
    </row>
    <row r="31" spans="1:4" ht="14.5" thickBot="1" x14ac:dyDescent="0.35"/>
    <row r="32" spans="1:4" ht="14.5" thickBot="1" x14ac:dyDescent="0.35">
      <c r="A32" s="13" t="s">
        <v>30</v>
      </c>
      <c r="B32" s="3" t="s">
        <v>52</v>
      </c>
      <c r="C32" t="s">
        <v>221</v>
      </c>
      <c r="D32" t="s">
        <v>51</v>
      </c>
    </row>
    <row r="33" spans="1:4" x14ac:dyDescent="0.3">
      <c r="A33" s="12" t="s">
        <v>33</v>
      </c>
      <c r="B33" t="s">
        <v>222</v>
      </c>
      <c r="C33" t="s">
        <v>229</v>
      </c>
      <c r="D33" t="s">
        <v>236</v>
      </c>
    </row>
    <row r="34" spans="1:4" x14ac:dyDescent="0.3">
      <c r="A34" s="12" t="s">
        <v>36</v>
      </c>
      <c r="B34" t="s">
        <v>223</v>
      </c>
      <c r="C34" t="s">
        <v>230</v>
      </c>
      <c r="D34" t="s">
        <v>237</v>
      </c>
    </row>
    <row r="35" spans="1:4" x14ac:dyDescent="0.3">
      <c r="A35" s="12" t="s">
        <v>38</v>
      </c>
      <c r="B35" t="s">
        <v>224</v>
      </c>
      <c r="C35" t="s">
        <v>231</v>
      </c>
      <c r="D35" t="s">
        <v>238</v>
      </c>
    </row>
    <row r="36" spans="1:4" x14ac:dyDescent="0.3">
      <c r="A36" s="12" t="s">
        <v>41</v>
      </c>
      <c r="B36" t="s">
        <v>225</v>
      </c>
      <c r="C36" t="s">
        <v>232</v>
      </c>
      <c r="D36" t="s">
        <v>239</v>
      </c>
    </row>
    <row r="37" spans="1:4" x14ac:dyDescent="0.3">
      <c r="A37" s="12" t="s">
        <v>44</v>
      </c>
      <c r="B37" t="s">
        <v>226</v>
      </c>
      <c r="C37" t="s">
        <v>233</v>
      </c>
      <c r="D37" t="s">
        <v>240</v>
      </c>
    </row>
    <row r="38" spans="1:4" x14ac:dyDescent="0.3">
      <c r="A38" s="12" t="s">
        <v>47</v>
      </c>
      <c r="B38" t="s">
        <v>227</v>
      </c>
      <c r="C38" t="s">
        <v>234</v>
      </c>
      <c r="D38" t="s">
        <v>241</v>
      </c>
    </row>
    <row r="39" spans="1:4" x14ac:dyDescent="0.3">
      <c r="A39" s="12" t="s">
        <v>104</v>
      </c>
      <c r="B39" t="s">
        <v>228</v>
      </c>
      <c r="C39" t="s">
        <v>235</v>
      </c>
      <c r="D39" t="s">
        <v>242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Bai1</vt:lpstr>
      <vt:lpstr>Bai2</vt:lpstr>
      <vt:lpstr>Bai3</vt:lpstr>
      <vt:lpstr>Bai4</vt:lpstr>
      <vt:lpstr>Bai5</vt:lpstr>
      <vt:lpstr>Bai6</vt:lpstr>
      <vt:lpstr>Bai7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Trọng Dũng</dc:creator>
  <cp:lastModifiedBy>Hoàng Trọng Dũng</cp:lastModifiedBy>
  <dcterms:created xsi:type="dcterms:W3CDTF">2026-01-06T06:31:49Z</dcterms:created>
  <dcterms:modified xsi:type="dcterms:W3CDTF">2026-01-06T08:07:46Z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2026-01-06T07:00:27Z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4310b784-a5d5-4e6c-b6e5-60f1e6704f6d</vt:lpwstr>
  </property>
  <property fmtid="{D5CDD505-2E9C-101B-9397-08002B2CF9AE}" pid="7" name="MSIP_Label_defa4170-0d19-0005-0004-bc88714345d2_ActionId">
    <vt:lpwstr>03b14cad-2431-4889-b959-410440f2b585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